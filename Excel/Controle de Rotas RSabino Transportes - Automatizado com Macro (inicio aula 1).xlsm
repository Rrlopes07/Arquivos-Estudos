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Estudo Programacao\Git pra upa\Arquivos-Estudos\Excel\"/>
    </mc:Choice>
  </mc:AlternateContent>
  <xr:revisionPtr revIDLastSave="0" documentId="13_ncr:1_{6874598C-F398-482B-84DE-3E7995A466D2}" xr6:coauthVersionLast="47" xr6:coauthVersionMax="47" xr10:uidLastSave="{00000000-0000-0000-0000-000000000000}"/>
  <bookViews>
    <workbookView xWindow="810" yWindow="-120" windowWidth="28110" windowHeight="164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iculo" sheetId="18" r:id="rId5"/>
    <sheet name="Base Filtrada" sheetId="17" r:id="rId6"/>
  </sheets>
  <definedNames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<sst xmlns="http://schemas.openxmlformats.org/spreadsheetml/2006/main" count="513" uniqueCount="59">
  <si>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</si>
  <si>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</si>
  <si>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</si>
  <si>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</si>
  <si>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</si>
  <si>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</si>
  <si>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</si>
  <si>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</si>
  <si>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</si>
  <si>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</si>
  <si>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</si>
  <si>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</si>
  <si>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</si>
  <si>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</si>
  <si>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</si>
  <si>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</si>
  <si>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</si>
  <si>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</si>
  <si>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</si>
  <si>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</si>
  <si>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</si>
  <si>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</si>
  <si>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</si>
  <si>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</si>
  <si>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</si>
  <si>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</si>
  <si>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</si>
  <si>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</si>
  <si>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</si>
  <si>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</si>
  <si>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</si>
  <si>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</si>
  <si>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</si>
  <si>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</si>
  <si>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</si>
  <si>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</si>
  <si>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</si>
  <si>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</si>
  <si>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</si>
  <si>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</si>
  <si>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</si>
  <si>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</si>
  <si>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</si>
  <si>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</si>
  <si>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</si>
  <si>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</si>
  <si>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</si>
  <si>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</si>
  <si>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</si>
  <si>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</si>
  <si>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</si>
  <si>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</si>
  <si>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</si>
  <si>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</si>
  <si>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</si>
  <si>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</si>
  <si>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</si>
  <si>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</si>
  <si>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&lt;1000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</si>
</sst>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center" textRotation="90"/>
    </xf>
    <xf numFmtId="0" fontId="6" fillId="5" borderId="0" xfId="0" applyFont="1" applyFill="1" applyBorder="1" applyAlignment="1">
      <alignment horizontal="center" vertical="center" textRotation="90"/>
    </xf>
    <xf numFmtId="0" fontId="6" fillId="6" borderId="11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5"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veiculo!Tabela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veiculo'!$B$3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veiculo'!$A$4:$A$7</c:f>
              <c:strCache>
                <c:ptCount val="3"/>
                <c:pt idx="0">
                  <c:v>(vazio)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por veiculo'!$B$4:$B$7</c:f>
              <c:numCache>
                <c:formatCode>_-"R$"\ * #,##0.00_-;\-"R$"\ * #,##0.00_-;_-"R$"\ * "-"??_-;_-@_-</c:formatCode>
                <c:ptCount val="3"/>
                <c:pt idx="1">
                  <c:v>907.72594752186592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1-4E4F-A165-8B5F0CFBC4E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50982463"/>
        <c:axId val="1350963327"/>
      </c:barChart>
      <c:catAx>
        <c:axId val="1350982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0963327"/>
        <c:crosses val="autoZero"/>
        <c:auto val="1"/>
        <c:lblAlgn val="ctr"/>
        <c:lblOffset val="100"/>
        <c:noMultiLvlLbl val="0"/>
      </c:catAx>
      <c:valAx>
        <c:axId val="13509633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0982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0</xdr:col>
          <xdr:colOff>504825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66675</xdr:rowOff>
        </xdr:from>
        <xdr:to>
          <xdr:col>18</xdr:col>
          <xdr:colOff>561975</xdr:colOff>
          <xdr:row>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0</xdr:row>
          <xdr:rowOff>38100</xdr:rowOff>
        </xdr:from>
        <xdr:to>
          <xdr:col>36</xdr:col>
          <xdr:colOff>542925</xdr:colOff>
          <xdr:row>1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1</xdr:row>
      <xdr:rowOff>179917</xdr:rowOff>
    </xdr:from>
    <xdr:to>
      <xdr:col>26</xdr:col>
      <xdr:colOff>10582</xdr:colOff>
      <xdr:row>19</xdr:row>
      <xdr:rowOff>179917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87B3255A-1D8C-4478-983D-F5039570A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66675</xdr:rowOff>
        </xdr:from>
        <xdr:to>
          <xdr:col>1</xdr:col>
          <xdr:colOff>314325</xdr:colOff>
          <xdr:row>2</xdr:row>
          <xdr:rowOff>266700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57151</xdr:rowOff>
        </xdr:from>
        <xdr:to>
          <xdr:col>3</xdr:col>
          <xdr:colOff>495300</xdr:colOff>
          <xdr:row>2</xdr:row>
          <xdr:rowOff>247651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phael Lopes" refreshedDate="44710.820857986109" createdVersion="7" refreshedVersion="7" minRefreshableVersion="3" recordCount="31" xr:uid="{7C6D37F5-C633-4429-9737-98503E979AA7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956.32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130"/>
    </cacheField>
    <cacheField name="Tipo de Veículo" numFmtId="0">
      <sharedItems containsBlank="1" count="4">
        <s v="Utilitário Pequeno"/>
        <s v="Caminhão Frigorífico"/>
        <m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fieldPosition="0">
        <references count="1">
          <reference field="4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7" type="button" dataOnly="0" labelOnly="1" outline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7" type="button" dataOnly="0" labelOnly="1" outline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088271-B6FA-481D-8A11-42FE2E5D0DC4}" name="Tabela dinâmica1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1">
    <format dxfId="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I31" sqref="I31"/>
    </sheetView>
  </sheetViews>
  <sheetFormatPr defaultRowHeight="15" x14ac:dyDescent="0.25"/>
  <cols>
    <col min="2" max="8" width="9.140625" customWidth="1"/>
    <col min="9" max="9" width="22.140625" customWidth="1"/>
    <col min="10" max="17" width="9.140625" customWidth="1"/>
    <col min="18" max="18" width="27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49" t="s">
        <v>53</v>
      </c>
      <c r="B1" s="45" t="s">
        <v>46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7"/>
      <c r="S1" s="50" t="s">
        <v>54</v>
      </c>
      <c r="T1" s="26" t="s">
        <v>46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8"/>
      <c r="AK1" s="50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45">
      <c r="A2" s="49"/>
      <c r="B2" s="42" t="str">
        <f>IF(I16&lt;'Indicadores Base'!A2,"Média de peso abaixo do normal","")</f>
        <v/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  <c r="S2" s="5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50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48"/>
      <c r="B3" s="32"/>
      <c r="C3" s="33"/>
      <c r="D3" s="33"/>
      <c r="E3" s="33"/>
      <c r="F3" s="33"/>
      <c r="G3" s="33"/>
      <c r="H3" s="34"/>
      <c r="I3" s="14" t="s">
        <v>45</v>
      </c>
      <c r="J3" s="32"/>
      <c r="K3" s="33"/>
      <c r="L3" s="33"/>
      <c r="M3" s="33"/>
      <c r="N3" s="33"/>
      <c r="O3" s="33"/>
      <c r="P3" s="33"/>
      <c r="Q3" s="34"/>
      <c r="R3" s="14" t="s">
        <v>49</v>
      </c>
      <c r="S3" s="50"/>
      <c r="T3" s="29"/>
      <c r="U3" s="30"/>
      <c r="V3" s="30"/>
      <c r="W3" s="30"/>
      <c r="X3" s="30"/>
      <c r="Y3" s="30"/>
      <c r="Z3" s="31"/>
      <c r="AA3" s="10" t="s">
        <v>45</v>
      </c>
      <c r="AB3" s="29"/>
      <c r="AC3" s="30"/>
      <c r="AD3" s="30"/>
      <c r="AE3" s="30"/>
      <c r="AF3" s="30"/>
      <c r="AG3" s="30"/>
      <c r="AH3" s="30"/>
      <c r="AI3" s="31"/>
      <c r="AJ3" s="10" t="s">
        <v>49</v>
      </c>
      <c r="AK3" s="50"/>
      <c r="AL3" s="29"/>
      <c r="AM3" s="30"/>
      <c r="AN3" s="30"/>
      <c r="AO3" s="30"/>
      <c r="AP3" s="30"/>
      <c r="AQ3" s="30"/>
      <c r="AR3" s="31"/>
      <c r="AS3" s="10" t="s">
        <v>45</v>
      </c>
      <c r="AT3" s="29"/>
      <c r="AU3" s="30"/>
      <c r="AV3" s="30"/>
      <c r="AW3" s="30"/>
      <c r="AX3" s="30"/>
      <c r="AY3" s="30"/>
      <c r="AZ3" s="30"/>
      <c r="BA3" s="31"/>
      <c r="BB3" s="10" t="s">
        <v>49</v>
      </c>
    </row>
    <row r="4" spans="1:54" x14ac:dyDescent="0.25">
      <c r="A4" s="48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50"/>
      <c r="T4" s="32"/>
      <c r="U4" s="33"/>
      <c r="V4" s="33"/>
      <c r="W4" s="33"/>
      <c r="X4" s="33"/>
      <c r="Y4" s="33"/>
      <c r="Z4" s="34"/>
      <c r="AA4" s="38">
        <f>GETPIVOTDATA("Soma de Peso (Kg)",'Tabelas Dinamicas'!$D$10)</f>
        <v>3043</v>
      </c>
      <c r="AB4" s="32"/>
      <c r="AC4" s="33"/>
      <c r="AD4" s="33"/>
      <c r="AE4" s="33"/>
      <c r="AF4" s="33"/>
      <c r="AG4" s="33"/>
      <c r="AH4" s="33"/>
      <c r="AI4" s="34"/>
      <c r="AJ4" s="40">
        <f>GETPIVOTDATA("Valor do Contrato",'Tabelas Dinamicas'!$A$10)</f>
        <v>25657.207243807243</v>
      </c>
      <c r="AK4" s="50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25">
      <c r="A5" s="48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50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50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25">
      <c r="A6" s="48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50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50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25">
      <c r="A7" s="48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50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50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.75" thickBot="1" x14ac:dyDescent="0.3">
      <c r="A8" s="48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50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50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25">
      <c r="A9" s="48"/>
      <c r="B9" s="32"/>
      <c r="C9" s="33"/>
      <c r="D9" s="33"/>
      <c r="E9" s="33"/>
      <c r="F9" s="33"/>
      <c r="G9" s="33"/>
      <c r="H9" s="34"/>
      <c r="I9" s="10" t="s">
        <v>47</v>
      </c>
      <c r="J9" s="32"/>
      <c r="K9" s="33"/>
      <c r="L9" s="33"/>
      <c r="M9" s="33"/>
      <c r="N9" s="33"/>
      <c r="O9" s="33"/>
      <c r="P9" s="33"/>
      <c r="Q9" s="34"/>
      <c r="R9" s="10" t="s">
        <v>50</v>
      </c>
      <c r="S9" s="50"/>
      <c r="T9" s="32"/>
      <c r="U9" s="33"/>
      <c r="V9" s="33"/>
      <c r="W9" s="33"/>
      <c r="X9" s="33"/>
      <c r="Y9" s="33"/>
      <c r="Z9" s="34"/>
      <c r="AA9" s="10" t="s">
        <v>47</v>
      </c>
      <c r="AB9" s="32"/>
      <c r="AC9" s="33"/>
      <c r="AD9" s="33"/>
      <c r="AE9" s="33"/>
      <c r="AF9" s="33"/>
      <c r="AG9" s="33"/>
      <c r="AH9" s="33"/>
      <c r="AI9" s="34"/>
      <c r="AJ9" s="10" t="s">
        <v>50</v>
      </c>
      <c r="AK9" s="50"/>
      <c r="AL9" s="32"/>
      <c r="AM9" s="33"/>
      <c r="AN9" s="33"/>
      <c r="AO9" s="33"/>
      <c r="AP9" s="33"/>
      <c r="AQ9" s="33"/>
      <c r="AR9" s="34"/>
      <c r="AS9" s="10" t="s">
        <v>47</v>
      </c>
      <c r="AT9" s="32"/>
      <c r="AU9" s="33"/>
      <c r="AV9" s="33"/>
      <c r="AW9" s="33"/>
      <c r="AX9" s="33"/>
      <c r="AY9" s="33"/>
      <c r="AZ9" s="33"/>
      <c r="BA9" s="34"/>
      <c r="BB9" s="10" t="s">
        <v>50</v>
      </c>
    </row>
    <row r="10" spans="1:54" x14ac:dyDescent="0.25">
      <c r="A10" s="48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50"/>
      <c r="T10" s="32"/>
      <c r="U10" s="33"/>
      <c r="V10" s="33"/>
      <c r="W10" s="33"/>
      <c r="X10" s="33"/>
      <c r="Y10" s="33"/>
      <c r="Z10" s="34"/>
      <c r="AA10" s="38">
        <f>GETPIVOTDATA("Contagem de Destino",'Tabelas Dinamicas'!$D$10)</f>
        <v>30</v>
      </c>
      <c r="AB10" s="32"/>
      <c r="AC10" s="33"/>
      <c r="AD10" s="33"/>
      <c r="AE10" s="33"/>
      <c r="AF10" s="33"/>
      <c r="AG10" s="33"/>
      <c r="AH10" s="33"/>
      <c r="AI10" s="34"/>
      <c r="AJ10" s="38">
        <f>COUNTIF(SituacaoPartidas, "Em Aberto - Atrasada")</f>
        <v>10</v>
      </c>
      <c r="AK10" s="50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25">
      <c r="A11" s="48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50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50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25">
      <c r="A12" s="48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50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50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25">
      <c r="A13" s="48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50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50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.75" thickBot="1" x14ac:dyDescent="0.3">
      <c r="A14" s="48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50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50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25">
      <c r="A15" s="48"/>
      <c r="B15" s="32"/>
      <c r="C15" s="33"/>
      <c r="D15" s="33"/>
      <c r="E15" s="33"/>
      <c r="F15" s="33"/>
      <c r="G15" s="33"/>
      <c r="H15" s="34"/>
      <c r="I15" s="10" t="s">
        <v>48</v>
      </c>
      <c r="J15" s="32"/>
      <c r="K15" s="33"/>
      <c r="L15" s="33"/>
      <c r="M15" s="33"/>
      <c r="N15" s="33"/>
      <c r="O15" s="33"/>
      <c r="P15" s="33"/>
      <c r="Q15" s="34"/>
      <c r="R15" s="10" t="s">
        <v>51</v>
      </c>
      <c r="S15" s="50"/>
      <c r="T15" s="32"/>
      <c r="U15" s="33"/>
      <c r="V15" s="33"/>
      <c r="W15" s="33"/>
      <c r="X15" s="33"/>
      <c r="Y15" s="33"/>
      <c r="Z15" s="34"/>
      <c r="AA15" s="10" t="s">
        <v>48</v>
      </c>
      <c r="AB15" s="32"/>
      <c r="AC15" s="33"/>
      <c r="AD15" s="33"/>
      <c r="AE15" s="33"/>
      <c r="AF15" s="33"/>
      <c r="AG15" s="33"/>
      <c r="AH15" s="33"/>
      <c r="AI15" s="34"/>
      <c r="AJ15" s="10" t="s">
        <v>51</v>
      </c>
      <c r="AK15" s="50"/>
      <c r="AL15" s="32"/>
      <c r="AM15" s="33"/>
      <c r="AN15" s="33"/>
      <c r="AO15" s="33"/>
      <c r="AP15" s="33"/>
      <c r="AQ15" s="33"/>
      <c r="AR15" s="34"/>
      <c r="AS15" s="10" t="s">
        <v>48</v>
      </c>
      <c r="AT15" s="32"/>
      <c r="AU15" s="33"/>
      <c r="AV15" s="33"/>
      <c r="AW15" s="33"/>
      <c r="AX15" s="33"/>
      <c r="AY15" s="33"/>
      <c r="AZ15" s="33"/>
      <c r="BA15" s="34"/>
      <c r="BB15" s="10" t="s">
        <v>51</v>
      </c>
    </row>
    <row r="16" spans="1:54" ht="15" customHeight="1" x14ac:dyDescent="0.25">
      <c r="A16" s="48"/>
      <c r="B16" s="32"/>
      <c r="C16" s="33"/>
      <c r="D16" s="33"/>
      <c r="E16" s="33"/>
      <c r="F16" s="33"/>
      <c r="G16" s="33"/>
      <c r="H16" s="34"/>
      <c r="I16" s="38">
        <f>I4/I10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50"/>
      <c r="T16" s="32"/>
      <c r="U16" s="33"/>
      <c r="V16" s="33"/>
      <c r="W16" s="33"/>
      <c r="X16" s="33"/>
      <c r="Y16" s="33"/>
      <c r="Z16" s="34"/>
      <c r="AA16" s="38">
        <f>AA4/AA10</f>
        <v>101.43333333333334</v>
      </c>
      <c r="AB16" s="32"/>
      <c r="AC16" s="33"/>
      <c r="AD16" s="33"/>
      <c r="AE16" s="33"/>
      <c r="AF16" s="33"/>
      <c r="AG16" s="33"/>
      <c r="AH16" s="33"/>
      <c r="AI16" s="34"/>
      <c r="AJ16" s="38">
        <f>COUNTIF(SituacaoChegadas, "Em aberto*")</f>
        <v>11</v>
      </c>
      <c r="AK16" s="50"/>
      <c r="AL16" s="32"/>
      <c r="AM16" s="33"/>
      <c r="AN16" s="33"/>
      <c r="AO16" s="33"/>
      <c r="AP16" s="33"/>
      <c r="AQ16" s="33"/>
      <c r="AR16" s="34"/>
      <c r="AS16" s="38">
        <f>AS4/AS10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25">
      <c r="A17" s="48"/>
      <c r="B17" s="32"/>
      <c r="C17" s="33"/>
      <c r="D17" s="33"/>
      <c r="E17" s="33"/>
      <c r="F17" s="33"/>
      <c r="G17" s="33"/>
      <c r="H17" s="34"/>
      <c r="I17" s="38"/>
      <c r="J17" s="32"/>
      <c r="K17" s="33"/>
      <c r="L17" s="33"/>
      <c r="M17" s="33"/>
      <c r="N17" s="33"/>
      <c r="O17" s="33"/>
      <c r="P17" s="33"/>
      <c r="Q17" s="34"/>
      <c r="R17" s="38"/>
      <c r="S17" s="50"/>
      <c r="T17" s="32"/>
      <c r="U17" s="33"/>
      <c r="V17" s="33"/>
      <c r="W17" s="33"/>
      <c r="X17" s="33"/>
      <c r="Y17" s="33"/>
      <c r="Z17" s="34"/>
      <c r="AA17" s="38"/>
      <c r="AB17" s="32"/>
      <c r="AC17" s="33"/>
      <c r="AD17" s="33"/>
      <c r="AE17" s="33"/>
      <c r="AF17" s="33"/>
      <c r="AG17" s="33"/>
      <c r="AH17" s="33"/>
      <c r="AI17" s="34"/>
      <c r="AJ17" s="38"/>
      <c r="AK17" s="50"/>
      <c r="AL17" s="32"/>
      <c r="AM17" s="33"/>
      <c r="AN17" s="33"/>
      <c r="AO17" s="33"/>
      <c r="AP17" s="33"/>
      <c r="AQ17" s="33"/>
      <c r="AR17" s="34"/>
      <c r="AS17" s="38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25">
      <c r="A18" s="48"/>
      <c r="B18" s="32"/>
      <c r="C18" s="33"/>
      <c r="D18" s="33"/>
      <c r="E18" s="33"/>
      <c r="F18" s="33"/>
      <c r="G18" s="33"/>
      <c r="H18" s="34"/>
      <c r="I18" s="38"/>
      <c r="J18" s="32"/>
      <c r="K18" s="33"/>
      <c r="L18" s="33"/>
      <c r="M18" s="33"/>
      <c r="N18" s="33"/>
      <c r="O18" s="33"/>
      <c r="P18" s="33"/>
      <c r="Q18" s="34"/>
      <c r="R18" s="38"/>
      <c r="S18" s="50"/>
      <c r="T18" s="32"/>
      <c r="U18" s="33"/>
      <c r="V18" s="33"/>
      <c r="W18" s="33"/>
      <c r="X18" s="33"/>
      <c r="Y18" s="33"/>
      <c r="Z18" s="34"/>
      <c r="AA18" s="38"/>
      <c r="AB18" s="32"/>
      <c r="AC18" s="33"/>
      <c r="AD18" s="33"/>
      <c r="AE18" s="33"/>
      <c r="AF18" s="33"/>
      <c r="AG18" s="33"/>
      <c r="AH18" s="33"/>
      <c r="AI18" s="34"/>
      <c r="AJ18" s="38"/>
      <c r="AK18" s="50"/>
      <c r="AL18" s="32"/>
      <c r="AM18" s="33"/>
      <c r="AN18" s="33"/>
      <c r="AO18" s="33"/>
      <c r="AP18" s="33"/>
      <c r="AQ18" s="33"/>
      <c r="AR18" s="34"/>
      <c r="AS18" s="38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25">
      <c r="A19" s="48"/>
      <c r="B19" s="32"/>
      <c r="C19" s="33"/>
      <c r="D19" s="33"/>
      <c r="E19" s="33"/>
      <c r="F19" s="33"/>
      <c r="G19" s="33"/>
      <c r="H19" s="34"/>
      <c r="I19" s="38"/>
      <c r="J19" s="32"/>
      <c r="K19" s="33"/>
      <c r="L19" s="33"/>
      <c r="M19" s="33"/>
      <c r="N19" s="33"/>
      <c r="O19" s="33"/>
      <c r="P19" s="33"/>
      <c r="Q19" s="34"/>
      <c r="R19" s="38"/>
      <c r="S19" s="50"/>
      <c r="T19" s="32"/>
      <c r="U19" s="33"/>
      <c r="V19" s="33"/>
      <c r="W19" s="33"/>
      <c r="X19" s="33"/>
      <c r="Y19" s="33"/>
      <c r="Z19" s="34"/>
      <c r="AA19" s="38"/>
      <c r="AB19" s="32"/>
      <c r="AC19" s="33"/>
      <c r="AD19" s="33"/>
      <c r="AE19" s="33"/>
      <c r="AF19" s="33"/>
      <c r="AG19" s="33"/>
      <c r="AH19" s="33"/>
      <c r="AI19" s="34"/>
      <c r="AJ19" s="38"/>
      <c r="AK19" s="50"/>
      <c r="AL19" s="32"/>
      <c r="AM19" s="33"/>
      <c r="AN19" s="33"/>
      <c r="AO19" s="33"/>
      <c r="AP19" s="33"/>
      <c r="AQ19" s="33"/>
      <c r="AR19" s="34"/>
      <c r="AS19" s="38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.75" thickBot="1" x14ac:dyDescent="0.3">
      <c r="A20" s="48"/>
      <c r="B20" s="35"/>
      <c r="C20" s="36"/>
      <c r="D20" s="36"/>
      <c r="E20" s="36"/>
      <c r="F20" s="36"/>
      <c r="G20" s="36"/>
      <c r="H20" s="37"/>
      <c r="I20" s="39"/>
      <c r="J20" s="35"/>
      <c r="K20" s="36"/>
      <c r="L20" s="36"/>
      <c r="M20" s="36"/>
      <c r="N20" s="36"/>
      <c r="O20" s="36"/>
      <c r="P20" s="36"/>
      <c r="Q20" s="37"/>
      <c r="R20" s="39"/>
      <c r="S20" s="50"/>
      <c r="T20" s="35"/>
      <c r="U20" s="36"/>
      <c r="V20" s="36"/>
      <c r="W20" s="36"/>
      <c r="X20" s="36"/>
      <c r="Y20" s="36"/>
      <c r="Z20" s="37"/>
      <c r="AA20" s="39"/>
      <c r="AB20" s="35"/>
      <c r="AC20" s="36"/>
      <c r="AD20" s="36"/>
      <c r="AE20" s="36"/>
      <c r="AF20" s="36"/>
      <c r="AG20" s="36"/>
      <c r="AH20" s="36"/>
      <c r="AI20" s="37"/>
      <c r="AJ20" s="39"/>
      <c r="AK20" s="50"/>
      <c r="AL20" s="35"/>
      <c r="AM20" s="36"/>
      <c r="AN20" s="36"/>
      <c r="AO20" s="36"/>
      <c r="AP20" s="36"/>
      <c r="AQ20" s="36"/>
      <c r="AR20" s="37"/>
      <c r="AS20" s="39"/>
      <c r="AT20" s="35"/>
      <c r="AU20" s="36"/>
      <c r="AV20" s="36"/>
      <c r="AW20" s="36"/>
      <c r="AX20" s="36"/>
      <c r="AY20" s="36"/>
      <c r="AZ20" s="36"/>
      <c r="BA20" s="37"/>
      <c r="BB20" s="39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4" priority="14">
      <formula>$R$10=$R$16</formula>
    </cfRule>
    <cfRule type="expression" dxfId="33" priority="15">
      <formula>$R$10&gt;=($R$16/2)</formula>
    </cfRule>
  </conditionalFormatting>
  <conditionalFormatting sqref="AJ10:AJ14">
    <cfRule type="expression" dxfId="32" priority="4">
      <formula>$R$10=$R$16</formula>
    </cfRule>
    <cfRule type="expression" dxfId="31" priority="5">
      <formula>$R$10&gt;=($R$16/2)</formula>
    </cfRule>
  </conditionalFormatting>
  <conditionalFormatting sqref="BB10:BB14">
    <cfRule type="expression" dxfId="30" priority="2">
      <formula>$R$10=$R$16</formula>
    </cfRule>
    <cfRule type="expression" dxfId="29" priority="3">
      <formula>$R$10&gt;=($R$16/2)</formula>
    </cfRule>
  </conditionalFormatting>
  <conditionalFormatting sqref="B2:R2">
    <cfRule type="containsText" dxfId="28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0</xdr:col>
                    <xdr:colOff>504825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114300</xdr:colOff>
                    <xdr:row>0</xdr:row>
                    <xdr:rowOff>66675</xdr:rowOff>
                  </from>
                  <to>
                    <xdr:col>18</xdr:col>
                    <xdr:colOff>561975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104775</xdr:colOff>
                    <xdr:row>0</xdr:row>
                    <xdr:rowOff>38100</xdr:rowOff>
                  </from>
                  <to>
                    <xdr:col>36</xdr:col>
                    <xdr:colOff>542925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4476-2207-448B-96D5-C827FE079C6C}">
  <sheetPr codeName="Planilha5"/>
  <dimension ref="A3:B7"/>
  <sheetViews>
    <sheetView workbookViewId="0">
      <selection activeCell="B7" sqref="B7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23" t="s">
        <v>40</v>
      </c>
      <c r="B3" t="s">
        <v>41</v>
      </c>
    </row>
    <row r="4" spans="1:2" x14ac:dyDescent="0.25">
      <c r="A4" s="24" t="s">
        <v>57</v>
      </c>
      <c r="B4" s="25"/>
    </row>
    <row r="5" spans="1:2" x14ac:dyDescent="0.25">
      <c r="A5" s="24" t="s">
        <v>31</v>
      </c>
      <c r="B5" s="25">
        <v>907.72594752186592</v>
      </c>
    </row>
    <row r="6" spans="1:2" x14ac:dyDescent="0.25">
      <c r="A6" s="24" t="s">
        <v>22</v>
      </c>
      <c r="B6" s="25">
        <v>12010.796978704524</v>
      </c>
    </row>
    <row r="7" spans="1:2" x14ac:dyDescent="0.25">
      <c r="A7" s="24" t="s">
        <v>42</v>
      </c>
      <c r="B7" s="25">
        <v>12918.522926226389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9C57-A075-44FD-A9FD-855A50392DA5}">
  <sheetPr codeName="Planilha6"/>
  <dimension ref="A1:M35"/>
  <sheetViews>
    <sheetView workbookViewId="0">
      <selection activeCell="K10" sqref="K10"/>
    </sheetView>
  </sheetViews>
  <sheetFormatPr defaultRowHeight="15" x14ac:dyDescent="0.25"/>
  <cols>
    <col min="1" max="1" width="19.5703125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7" max="7" width="19.42578125" bestFit="1" customWidth="1"/>
    <col min="9" max="9" width="12.85546875" bestFit="1" customWidth="1"/>
    <col min="10" max="10" width="19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18" t="s">
        <v>0</v>
      </c>
      <c r="B1" s="19" t="s">
        <v>2</v>
      </c>
      <c r="C1" s="19" t="s">
        <v>3</v>
      </c>
      <c r="D1" s="20" t="s">
        <v>13</v>
      </c>
      <c r="E1" s="19" t="s">
        <v>1</v>
      </c>
      <c r="F1" s="19" t="s">
        <v>21</v>
      </c>
      <c r="G1" s="19" t="s">
        <v>6</v>
      </c>
      <c r="H1" s="19" t="s">
        <v>7</v>
      </c>
      <c r="I1" s="19" t="s">
        <v>8</v>
      </c>
      <c r="J1" s="19" t="s">
        <v>12</v>
      </c>
      <c r="K1" s="19" t="s">
        <v>9</v>
      </c>
      <c r="L1" s="19" t="s">
        <v>10</v>
      </c>
      <c r="M1" s="21" t="s">
        <v>11</v>
      </c>
    </row>
    <row r="2" spans="1:13" ht="15.75" thickBot="1" x14ac:dyDescent="0.3">
      <c r="A2" s="15"/>
      <c r="B2" s="16"/>
      <c r="C2" s="16"/>
      <c r="D2" s="16" t="s">
        <v>58</v>
      </c>
      <c r="E2" s="16"/>
      <c r="F2" s="16"/>
      <c r="G2" s="16"/>
      <c r="H2" s="16"/>
      <c r="I2" s="16"/>
      <c r="J2" s="16"/>
      <c r="K2" s="16"/>
      <c r="L2" s="16"/>
      <c r="M2" s="17"/>
    </row>
    <row r="3" spans="1:13" ht="26.2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43594</v>
      </c>
      <c r="C12" t="s">
        <v>18</v>
      </c>
      <c r="D12" s="3">
        <v>907.72594752186592</v>
      </c>
      <c r="E12" t="s">
        <v>29</v>
      </c>
      <c r="F12" s="4">
        <v>130</v>
      </c>
      <c r="G12" t="s">
        <v>31</v>
      </c>
      <c r="H12" s="4" t="s">
        <v>30</v>
      </c>
      <c r="I12" s="5">
        <v>43595</v>
      </c>
      <c r="J12" s="4" t="s">
        <v>24</v>
      </c>
      <c r="K12" s="4" t="s">
        <v>28</v>
      </c>
      <c r="L12" s="5">
        <v>43598</v>
      </c>
      <c r="M12" s="4" t="s">
        <v>25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17</v>
      </c>
      <c r="B20" s="5">
        <v>43556</v>
      </c>
      <c r="C20" t="s">
        <v>18</v>
      </c>
      <c r="D20" s="3">
        <v>916.12500000000011</v>
      </c>
      <c r="E20" t="s">
        <v>39</v>
      </c>
      <c r="F20" s="4">
        <v>25</v>
      </c>
      <c r="G20" t="s">
        <v>22</v>
      </c>
      <c r="H20" s="4" t="s">
        <v>27</v>
      </c>
      <c r="I20" s="5">
        <v>43560</v>
      </c>
      <c r="J20" s="4" t="s">
        <v>24</v>
      </c>
      <c r="K20" s="4" t="s">
        <v>27</v>
      </c>
      <c r="L20" s="5">
        <v>43560</v>
      </c>
      <c r="M20" s="4" t="s">
        <v>24</v>
      </c>
    </row>
    <row r="21" spans="1:13" x14ac:dyDescent="0.25">
      <c r="A21" t="s">
        <v>17</v>
      </c>
      <c r="B21" s="5">
        <v>43592</v>
      </c>
      <c r="C21" t="s">
        <v>18</v>
      </c>
      <c r="D21" s="3">
        <v>854.4</v>
      </c>
      <c r="E21" t="s">
        <v>39</v>
      </c>
      <c r="F21" s="4">
        <v>30</v>
      </c>
      <c r="G21" t="s">
        <v>22</v>
      </c>
      <c r="H21" s="4" t="s">
        <v>27</v>
      </c>
      <c r="I21" s="5">
        <v>43595</v>
      </c>
      <c r="J21" s="4" t="s">
        <v>24</v>
      </c>
      <c r="K21" s="4" t="s">
        <v>27</v>
      </c>
      <c r="L21" s="5">
        <v>43595</v>
      </c>
      <c r="M21" s="4" t="s">
        <v>24</v>
      </c>
    </row>
    <row r="22" spans="1:13" x14ac:dyDescent="0.25">
      <c r="A22" t="s">
        <v>17</v>
      </c>
      <c r="B22" s="5">
        <v>43605</v>
      </c>
      <c r="C22" t="s">
        <v>18</v>
      </c>
      <c r="D22" s="3">
        <v>884.2156521739131</v>
      </c>
      <c r="E22" t="s">
        <v>39</v>
      </c>
      <c r="F22" s="4">
        <v>28</v>
      </c>
      <c r="G22" t="s">
        <v>22</v>
      </c>
      <c r="H22" s="4" t="s">
        <v>27</v>
      </c>
      <c r="I22" s="5">
        <v>43607</v>
      </c>
      <c r="J22" s="4" t="s">
        <v>24</v>
      </c>
      <c r="K22" s="4" t="s">
        <v>27</v>
      </c>
      <c r="L22" s="5">
        <v>43607</v>
      </c>
      <c r="M22" s="4" t="s">
        <v>24</v>
      </c>
    </row>
    <row r="23" spans="1:13" x14ac:dyDescent="0.25">
      <c r="A23" t="s">
        <v>17</v>
      </c>
      <c r="B23" s="5">
        <v>43799</v>
      </c>
      <c r="C23" t="s">
        <v>18</v>
      </c>
      <c r="D23" s="3">
        <v>645.88571428571424</v>
      </c>
      <c r="E23" t="s">
        <v>39</v>
      </c>
      <c r="F23" s="4">
        <v>20</v>
      </c>
      <c r="G23" t="s">
        <v>22</v>
      </c>
      <c r="H23" s="4" t="s">
        <v>27</v>
      </c>
      <c r="I23" s="5">
        <v>43804</v>
      </c>
      <c r="J23" s="4" t="s">
        <v>24</v>
      </c>
      <c r="K23" s="4" t="s">
        <v>27</v>
      </c>
      <c r="L23" s="5">
        <v>43804</v>
      </c>
      <c r="M23" s="4" t="s">
        <v>24</v>
      </c>
    </row>
    <row r="24" spans="1:13" x14ac:dyDescent="0.25">
      <c r="A24" t="s">
        <v>17</v>
      </c>
      <c r="B24" s="5">
        <v>43806</v>
      </c>
      <c r="C24" t="s">
        <v>19</v>
      </c>
      <c r="D24" s="3">
        <v>614.77714285714285</v>
      </c>
      <c r="E24" t="s">
        <v>39</v>
      </c>
      <c r="F24" s="4">
        <v>18</v>
      </c>
      <c r="G24" t="s">
        <v>22</v>
      </c>
      <c r="H24" s="4" t="s">
        <v>27</v>
      </c>
      <c r="I24" s="5">
        <v>43808</v>
      </c>
      <c r="J24" s="4" t="s">
        <v>52</v>
      </c>
      <c r="K24" s="4" t="s">
        <v>27</v>
      </c>
      <c r="L24" s="5">
        <v>43808</v>
      </c>
      <c r="M24" s="4" t="s">
        <v>52</v>
      </c>
    </row>
    <row r="25" spans="1:13" x14ac:dyDescent="0.25">
      <c r="A25" t="s">
        <v>17</v>
      </c>
      <c r="B25" s="5">
        <v>43840</v>
      </c>
      <c r="C25" t="s">
        <v>19</v>
      </c>
      <c r="D25" s="3">
        <v>174.56268221574345</v>
      </c>
      <c r="E25" t="s">
        <v>39</v>
      </c>
      <c r="F25" s="4">
        <v>25</v>
      </c>
      <c r="G25" t="s">
        <v>22</v>
      </c>
      <c r="H25" s="4" t="s">
        <v>27</v>
      </c>
      <c r="I25" s="5">
        <v>43842</v>
      </c>
      <c r="J25" s="4" t="s">
        <v>26</v>
      </c>
      <c r="K25" s="4" t="s">
        <v>27</v>
      </c>
      <c r="L25" s="5">
        <v>43842</v>
      </c>
      <c r="M25" s="4" t="s">
        <v>26</v>
      </c>
    </row>
    <row r="26" spans="1:13" x14ac:dyDescent="0.25">
      <c r="A26" t="s">
        <v>17</v>
      </c>
      <c r="B26" s="5">
        <v>43852</v>
      </c>
      <c r="C26" t="s">
        <v>19</v>
      </c>
      <c r="D26" s="3">
        <v>251.37026239067058</v>
      </c>
      <c r="E26" t="s">
        <v>39</v>
      </c>
      <c r="F26" s="4">
        <v>36</v>
      </c>
      <c r="G26" t="s">
        <v>22</v>
      </c>
      <c r="H26" s="4" t="s">
        <v>27</v>
      </c>
      <c r="I26" s="5">
        <v>43854</v>
      </c>
      <c r="J26" s="4" t="s">
        <v>26</v>
      </c>
      <c r="K26" s="4" t="s">
        <v>27</v>
      </c>
      <c r="L26" s="5">
        <v>43854</v>
      </c>
      <c r="M26" s="4" t="s">
        <v>26</v>
      </c>
    </row>
    <row r="27" spans="1:13" x14ac:dyDescent="0.25">
      <c r="A27" t="s">
        <v>17</v>
      </c>
      <c r="B27" s="5">
        <v>43852</v>
      </c>
      <c r="C27" t="s">
        <v>19</v>
      </c>
      <c r="D27" s="3">
        <v>251.37026239067058</v>
      </c>
      <c r="E27" t="s">
        <v>39</v>
      </c>
      <c r="F27" s="4">
        <v>100</v>
      </c>
      <c r="G27" t="s">
        <v>22</v>
      </c>
      <c r="H27" s="4" t="s">
        <v>27</v>
      </c>
      <c r="I27" s="5">
        <v>43854</v>
      </c>
      <c r="J27" s="4" t="s">
        <v>26</v>
      </c>
      <c r="K27" s="4" t="s">
        <v>27</v>
      </c>
      <c r="L27" s="5">
        <v>43854</v>
      </c>
      <c r="M27" s="4" t="s">
        <v>26</v>
      </c>
    </row>
    <row r="28" spans="1:13" x14ac:dyDescent="0.25">
      <c r="A28" t="s">
        <v>17</v>
      </c>
      <c r="B28" s="5">
        <v>43852</v>
      </c>
      <c r="C28" t="s">
        <v>19</v>
      </c>
      <c r="D28" s="3">
        <v>251.37026239067058</v>
      </c>
      <c r="E28" t="s">
        <v>39</v>
      </c>
      <c r="F28" s="4">
        <v>100</v>
      </c>
      <c r="G28" t="s">
        <v>22</v>
      </c>
      <c r="H28" s="4" t="s">
        <v>27</v>
      </c>
      <c r="I28" s="5">
        <v>43854</v>
      </c>
      <c r="J28" s="4" t="s">
        <v>26</v>
      </c>
      <c r="K28" s="4" t="s">
        <v>27</v>
      </c>
      <c r="L28" s="5">
        <v>43854</v>
      </c>
      <c r="M28" s="4" t="s">
        <v>26</v>
      </c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161925</xdr:colOff>
                    <xdr:row>2</xdr:row>
                    <xdr:rowOff>66675</xdr:rowOff>
                  </from>
                  <to>
                    <xdr:col>1</xdr:col>
                    <xdr:colOff>314325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Painel2">
                <anchor moveWithCells="1" sizeWithCells="1">
                  <from>
                    <xdr:col>2</xdr:col>
                    <xdr:colOff>28575</xdr:colOff>
                    <xdr:row>2</xdr:row>
                    <xdr:rowOff>57150</xdr:rowOff>
                  </from>
                  <to>
                    <xdr:col>3</xdr:col>
                    <xdr:colOff>495300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veiculo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Raphael Lopes</cp:lastModifiedBy>
  <dcterms:created xsi:type="dcterms:W3CDTF">2020-01-28T18:38:11Z</dcterms:created>
  <dcterms:modified xsi:type="dcterms:W3CDTF">2022-05-29T23:28:52Z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